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WebSite\teaching\301\labs\lab3\soln\"/>
    </mc:Choice>
  </mc:AlternateContent>
  <bookViews>
    <workbookView xWindow="0" yWindow="0" windowWidth="28800" windowHeight="13995"/>
  </bookViews>
  <sheets>
    <sheet name="macro" sheetId="1" r:id="rId1"/>
    <sheet name="udf" sheetId="2" r:id="rId2"/>
    <sheet name="button" sheetId="3" r:id="rId3"/>
    <sheet name="monday" sheetId="4" r:id="rId4"/>
    <sheet name="tuesday" sheetId="5" r:id="rId5"/>
    <sheet name="wednesday" sheetId="6" r:id="rId6"/>
    <sheet name="thursday" sheetId="7" r:id="rId7"/>
    <sheet name="friday" sheetId="8" r:id="rId8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3" i="8" l="1"/>
  <c r="C2" i="8" s="1"/>
  <c r="C5" i="7"/>
  <c r="C6" i="7"/>
  <c r="C7" i="7"/>
  <c r="C8" i="7"/>
  <c r="C9" i="7"/>
  <c r="B13" i="7"/>
  <c r="C2" i="7" s="1"/>
  <c r="C5" i="6"/>
  <c r="C6" i="6"/>
  <c r="C7" i="6"/>
  <c r="C8" i="6"/>
  <c r="C9" i="6"/>
  <c r="B13" i="6"/>
  <c r="C2" i="6" s="1"/>
  <c r="C5" i="5"/>
  <c r="C6" i="5"/>
  <c r="C7" i="5"/>
  <c r="C8" i="5"/>
  <c r="C9" i="5"/>
  <c r="B13" i="5"/>
  <c r="C2" i="5" s="1"/>
  <c r="B13" i="4"/>
  <c r="C2" i="4" s="1"/>
  <c r="F5" i="2"/>
  <c r="F4" i="2"/>
  <c r="F3" i="2"/>
  <c r="C9" i="8" l="1"/>
  <c r="C8" i="8"/>
  <c r="C7" i="8"/>
  <c r="C6" i="8"/>
  <c r="C5" i="8"/>
  <c r="C4" i="8"/>
  <c r="C11" i="8"/>
  <c r="C3" i="8"/>
  <c r="C10" i="8"/>
  <c r="C4" i="7"/>
  <c r="C11" i="7"/>
  <c r="C3" i="7"/>
  <c r="C10" i="7"/>
  <c r="C4" i="6"/>
  <c r="C11" i="6"/>
  <c r="C3" i="6"/>
  <c r="C10" i="6"/>
  <c r="C4" i="5"/>
  <c r="C11" i="5"/>
  <c r="C3" i="5"/>
  <c r="C10" i="5"/>
  <c r="C8" i="4"/>
  <c r="C6" i="4"/>
  <c r="C4" i="4"/>
  <c r="C11" i="4"/>
  <c r="C3" i="4"/>
  <c r="C9" i="4"/>
  <c r="C7" i="4"/>
  <c r="C5" i="4"/>
  <c r="C10" i="4"/>
</calcChain>
</file>

<file path=xl/sharedStrings.xml><?xml version="1.0" encoding="utf-8"?>
<sst xmlns="http://schemas.openxmlformats.org/spreadsheetml/2006/main" count="78" uniqueCount="25">
  <si>
    <t>Number</t>
  </si>
  <si>
    <t>Sum by Color</t>
  </si>
  <si>
    <t>Color</t>
  </si>
  <si>
    <t>Sum</t>
  </si>
  <si>
    <t>Create a button that sets field A3 to current date.</t>
  </si>
  <si>
    <t>Current date:</t>
  </si>
  <si>
    <t>Product</t>
  </si>
  <si>
    <t>Sales</t>
  </si>
  <si>
    <t>Text</t>
  </si>
  <si>
    <t>Zoo</t>
  </si>
  <si>
    <t>Yahoo</t>
  </si>
  <si>
    <t>Walrus</t>
  </si>
  <si>
    <t>X-ray</t>
  </si>
  <si>
    <t>Vacuum</t>
  </si>
  <si>
    <t>Taffy</t>
  </si>
  <si>
    <t>Ice cream</t>
  </si>
  <si>
    <t>Gum</t>
  </si>
  <si>
    <t>Mints</t>
  </si>
  <si>
    <t>Lollipops</t>
  </si>
  <si>
    <t>Cookies</t>
  </si>
  <si>
    <t>Chocolate</t>
  </si>
  <si>
    <t>Gummies</t>
  </si>
  <si>
    <t>Candy</t>
  </si>
  <si>
    <t>Jelly Beans</t>
  </si>
  <si>
    <t>Percentage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</si>
</sst>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(&quot;$&quot;* #,##0.00_);_(&quot;$&quot;* \(#,##0.00\);_(&quot;$&quot;* &quot;-&quot;??_);_(@_)"/>
    <numFmt numFmtId="169" formatCode="dddd\,\ mmmm\ dd\,\ yyyy\ h:mm:ss\ AM/PM"/>
  </numFmts>
  <fonts count="4" x14ac:knownFonts="1">
    <font>
      <sz val="2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3">
    <xf numFmtId="0" fontId="0" fillId="0" borderId="0" xfId="0"/>
    <xf numFmtId="0" fontId="2" fillId="0" borderId="0" xfId="0" applyFont="1"/>
    <xf numFmtId="0" fontId="0" fillId="2" borderId="0" xfId="0" applyFill="1"/>
    <xf numFmtId="0" fontId="3" fillId="0" borderId="0" xfId="0" applyFont="1"/>
    <xf numFmtId="0" fontId="0" fillId="3" borderId="0" xfId="0" applyFill="1"/>
    <xf numFmtId="0" fontId="0" fillId="4" borderId="0" xfId="0" applyFill="1"/>
    <xf numFmtId="14" fontId="0" fillId="0" borderId="0" xfId="0" applyNumberFormat="1"/>
    <xf numFmtId="22" fontId="0" fillId="0" borderId="0" xfId="0" applyNumberFormat="1"/>
    <xf numFmtId="169" fontId="0" fillId="0" borderId="0" xfId="0" applyNumberFormat="1"/>
    <xf numFmtId="0" fontId="2" fillId="5" borderId="0" xfId="0" applyFont="1" applyFill="1" applyAlignment="1">
      <alignment horizontal="center"/>
    </xf>
    <xf numFmtId="44" fontId="0" fillId="0" borderId="0" xfId="1" applyFont="1"/>
    <xf numFmtId="9" fontId="0" fillId="0" borderId="0" xfId="2" applyFont="1"/>
    <xf numFmtId="0" fontId="2" fillId="0" borderId="0" xfId="0" applyFont="1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10"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Sales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monday!$B$1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monday!$A$2:$A$11</c:f>
              <c:strCache>
                <c:ptCount val="10"/>
                <c:pt idx="0">
                  <c:v>Jelly Beans</c:v>
                </c:pt>
                <c:pt idx="1">
                  <c:v>Candy</c:v>
                </c:pt>
                <c:pt idx="2">
                  <c:v>Gummies</c:v>
                </c:pt>
                <c:pt idx="3">
                  <c:v>Chocolate</c:v>
                </c:pt>
                <c:pt idx="4">
                  <c:v>Cookies</c:v>
                </c:pt>
                <c:pt idx="5">
                  <c:v>Lollipops</c:v>
                </c:pt>
                <c:pt idx="6">
                  <c:v>Mints</c:v>
                </c:pt>
                <c:pt idx="7">
                  <c:v>Gum</c:v>
                </c:pt>
                <c:pt idx="8">
                  <c:v>Ice cream</c:v>
                </c:pt>
                <c:pt idx="9">
                  <c:v>Taffy</c:v>
                </c:pt>
              </c:strCache>
            </c:strRef>
          </c:cat>
          <c:val>
            <c:numRef>
              <c:f>monday!$B$2:$B$11</c:f>
              <c:numCache>
                <c:formatCode>_("$"* #,##0.00_);_("$"* \(#,##0.00\);_("$"* "-"??_);_(@_)</c:formatCode>
                <c:ptCount val="10"/>
                <c:pt idx="0">
                  <c:v>750</c:v>
                </c:pt>
                <c:pt idx="1">
                  <c:v>500</c:v>
                </c:pt>
                <c:pt idx="2">
                  <c:v>400</c:v>
                </c:pt>
                <c:pt idx="3">
                  <c:v>400</c:v>
                </c:pt>
                <c:pt idx="4">
                  <c:v>300</c:v>
                </c:pt>
                <c:pt idx="5">
                  <c:v>200</c:v>
                </c:pt>
                <c:pt idx="6">
                  <c:v>135</c:v>
                </c:pt>
                <c:pt idx="7">
                  <c:v>50</c:v>
                </c:pt>
                <c:pt idx="8">
                  <c:v>50</c:v>
                </c:pt>
                <c:pt idx="9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68-4F5F-9950-ACE48D083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1445184"/>
        <c:axId val="781445512"/>
      </c:barChart>
      <c:catAx>
        <c:axId val="781445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445512"/>
        <c:crosses val="autoZero"/>
        <c:auto val="1"/>
        <c:lblAlgn val="ctr"/>
        <c:lblOffset val="100"/>
        <c:noMultiLvlLbl val="0"/>
      </c:catAx>
      <c:valAx>
        <c:axId val="781445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445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Percentage Sales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monday!$C$1</c:f>
              <c:strCache>
                <c:ptCount val="1"/>
                <c:pt idx="0">
                  <c:v>Percentage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C12-46A3-A9DB-2CA1818102A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C12-46A3-A9DB-2CA1818102A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C12-46A3-A9DB-2CA1818102A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C12-46A3-A9DB-2CA1818102A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C12-46A3-A9DB-2CA1818102A1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C12-46A3-A9DB-2CA1818102A1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C12-46A3-A9DB-2CA1818102A1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C12-46A3-A9DB-2CA1818102A1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DC12-46A3-A9DB-2CA1818102A1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DC12-46A3-A9DB-2CA1818102A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monday!$A$2:$A$11</c:f>
              <c:strCache>
                <c:ptCount val="10"/>
                <c:pt idx="0">
                  <c:v>Jelly Beans</c:v>
                </c:pt>
                <c:pt idx="1">
                  <c:v>Candy</c:v>
                </c:pt>
                <c:pt idx="2">
                  <c:v>Gummies</c:v>
                </c:pt>
                <c:pt idx="3">
                  <c:v>Chocolate</c:v>
                </c:pt>
                <c:pt idx="4">
                  <c:v>Cookies</c:v>
                </c:pt>
                <c:pt idx="5">
                  <c:v>Lollipops</c:v>
                </c:pt>
                <c:pt idx="6">
                  <c:v>Mints</c:v>
                </c:pt>
                <c:pt idx="7">
                  <c:v>Gum</c:v>
                </c:pt>
                <c:pt idx="8">
                  <c:v>Ice cream</c:v>
                </c:pt>
                <c:pt idx="9">
                  <c:v>Taffy</c:v>
                </c:pt>
              </c:strCache>
            </c:strRef>
          </c:cat>
          <c:val>
            <c:numRef>
              <c:f>monday!$C$2:$C$11</c:f>
              <c:numCache>
                <c:formatCode>0%</c:formatCode>
                <c:ptCount val="10"/>
                <c:pt idx="0">
                  <c:v>0.26548672566371684</c:v>
                </c:pt>
                <c:pt idx="1">
                  <c:v>0.17699115044247787</c:v>
                </c:pt>
                <c:pt idx="2">
                  <c:v>0.1415929203539823</c:v>
                </c:pt>
                <c:pt idx="3">
                  <c:v>0.1415929203539823</c:v>
                </c:pt>
                <c:pt idx="4">
                  <c:v>0.10619469026548672</c:v>
                </c:pt>
                <c:pt idx="5">
                  <c:v>7.0796460176991149E-2</c:v>
                </c:pt>
                <c:pt idx="6">
                  <c:v>4.7787610619469026E-2</c:v>
                </c:pt>
                <c:pt idx="7">
                  <c:v>1.7699115044247787E-2</c:v>
                </c:pt>
                <c:pt idx="8">
                  <c:v>1.7699115044247787E-2</c:v>
                </c:pt>
                <c:pt idx="9">
                  <c:v>1.415929203539823E-2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DC12-46A3-A9DB-2CA1818102A1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Sales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tuesday!$B$1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tuesday!$A$2:$A$11</c:f>
              <c:strCache>
                <c:ptCount val="10"/>
                <c:pt idx="0">
                  <c:v>Mints</c:v>
                </c:pt>
                <c:pt idx="1">
                  <c:v>Candy</c:v>
                </c:pt>
                <c:pt idx="2">
                  <c:v>Jelly Beans</c:v>
                </c:pt>
                <c:pt idx="3">
                  <c:v>Gum</c:v>
                </c:pt>
                <c:pt idx="4">
                  <c:v>Chocolate</c:v>
                </c:pt>
                <c:pt idx="5">
                  <c:v>Gummies</c:v>
                </c:pt>
                <c:pt idx="6">
                  <c:v>Cookies</c:v>
                </c:pt>
                <c:pt idx="7">
                  <c:v>Ice cream</c:v>
                </c:pt>
                <c:pt idx="8">
                  <c:v>Lollipops</c:v>
                </c:pt>
                <c:pt idx="9">
                  <c:v>Taffy</c:v>
                </c:pt>
              </c:strCache>
            </c:strRef>
          </c:cat>
          <c:val>
            <c:numRef>
              <c:f>tuesday!$B$2:$B$11</c:f>
              <c:numCache>
                <c:formatCode>_("$"* #,##0.00_);_("$"* \(#,##0.00\);_("$"* "-"??_);_(@_)</c:formatCode>
                <c:ptCount val="10"/>
                <c:pt idx="0">
                  <c:v>545</c:v>
                </c:pt>
                <c:pt idx="1">
                  <c:v>450</c:v>
                </c:pt>
                <c:pt idx="2">
                  <c:v>376</c:v>
                </c:pt>
                <c:pt idx="3">
                  <c:v>350</c:v>
                </c:pt>
                <c:pt idx="4">
                  <c:v>320</c:v>
                </c:pt>
                <c:pt idx="5">
                  <c:v>230</c:v>
                </c:pt>
                <c:pt idx="6">
                  <c:v>200</c:v>
                </c:pt>
                <c:pt idx="7">
                  <c:v>180</c:v>
                </c:pt>
                <c:pt idx="8">
                  <c:v>150</c:v>
                </c:pt>
                <c:pt idx="9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40-4EC4-B1CA-8ED876B493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2324688"/>
        <c:axId val="572325016"/>
      </c:barChart>
      <c:catAx>
        <c:axId val="572324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325016"/>
        <c:crosses val="autoZero"/>
        <c:auto val="1"/>
        <c:lblAlgn val="ctr"/>
        <c:lblOffset val="100"/>
        <c:noMultiLvlLbl val="0"/>
      </c:catAx>
      <c:valAx>
        <c:axId val="572325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324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Percentage Sales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tuesday!$C$1</c:f>
              <c:strCache>
                <c:ptCount val="1"/>
                <c:pt idx="0">
                  <c:v>Percentage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CAA-4045-AA37-E016FB9BFC9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CAA-4045-AA37-E016FB9BFC9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CAA-4045-AA37-E016FB9BFC9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CAA-4045-AA37-E016FB9BFC9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CAA-4045-AA37-E016FB9BFC9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ECAA-4045-AA37-E016FB9BFC9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ECAA-4045-AA37-E016FB9BFC9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ECAA-4045-AA37-E016FB9BFC95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ECAA-4045-AA37-E016FB9BFC95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ECAA-4045-AA37-E016FB9BFC9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tuesday!$A$2:$A$11</c:f>
              <c:strCache>
                <c:ptCount val="10"/>
                <c:pt idx="0">
                  <c:v>Mints</c:v>
                </c:pt>
                <c:pt idx="1">
                  <c:v>Candy</c:v>
                </c:pt>
                <c:pt idx="2">
                  <c:v>Jelly Beans</c:v>
                </c:pt>
                <c:pt idx="3">
                  <c:v>Gum</c:v>
                </c:pt>
                <c:pt idx="4">
                  <c:v>Chocolate</c:v>
                </c:pt>
                <c:pt idx="5">
                  <c:v>Gummies</c:v>
                </c:pt>
                <c:pt idx="6">
                  <c:v>Cookies</c:v>
                </c:pt>
                <c:pt idx="7">
                  <c:v>Ice cream</c:v>
                </c:pt>
                <c:pt idx="8">
                  <c:v>Lollipops</c:v>
                </c:pt>
                <c:pt idx="9">
                  <c:v>Taffy</c:v>
                </c:pt>
              </c:strCache>
            </c:strRef>
          </c:cat>
          <c:val>
            <c:numRef>
              <c:f>tuesday!$C$2:$C$11</c:f>
              <c:numCache>
                <c:formatCode>0%</c:formatCode>
                <c:ptCount val="10"/>
                <c:pt idx="0">
                  <c:v>0.1878662530162013</c:v>
                </c:pt>
                <c:pt idx="1">
                  <c:v>0.15511892450879008</c:v>
                </c:pt>
                <c:pt idx="2">
                  <c:v>0.12961047914512236</c:v>
                </c:pt>
                <c:pt idx="3">
                  <c:v>0.12064805239572561</c:v>
                </c:pt>
                <c:pt idx="4">
                  <c:v>0.11030679076180627</c:v>
                </c:pt>
                <c:pt idx="5">
                  <c:v>7.9283005860048258E-2</c:v>
                </c:pt>
                <c:pt idx="6">
                  <c:v>6.894174422612892E-2</c:v>
                </c:pt>
                <c:pt idx="7">
                  <c:v>6.2047569803516028E-2</c:v>
                </c:pt>
                <c:pt idx="8">
                  <c:v>5.170630816959669E-2</c:v>
                </c:pt>
                <c:pt idx="9">
                  <c:v>3.447087211306446E-2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ECAA-4045-AA37-E016FB9BFC95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Sales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wednesday!$B$1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wednesday!$A$2:$A$11</c:f>
              <c:strCache>
                <c:ptCount val="10"/>
                <c:pt idx="0">
                  <c:v>Chocolate</c:v>
                </c:pt>
                <c:pt idx="1">
                  <c:v>Gummies</c:v>
                </c:pt>
                <c:pt idx="2">
                  <c:v>Jelly Beans</c:v>
                </c:pt>
                <c:pt idx="3">
                  <c:v>Cookies</c:v>
                </c:pt>
                <c:pt idx="4">
                  <c:v>Candy</c:v>
                </c:pt>
                <c:pt idx="5">
                  <c:v>Taffy</c:v>
                </c:pt>
                <c:pt idx="6">
                  <c:v>Ice cream</c:v>
                </c:pt>
                <c:pt idx="7">
                  <c:v>Lollipops</c:v>
                </c:pt>
                <c:pt idx="8">
                  <c:v>Mints</c:v>
                </c:pt>
                <c:pt idx="9">
                  <c:v>Gum</c:v>
                </c:pt>
              </c:strCache>
            </c:strRef>
          </c:cat>
          <c:val>
            <c:numRef>
              <c:f>wednesday!$B$2:$B$11</c:f>
              <c:numCache>
                <c:formatCode>_("$"* #,##0.00_);_("$"* \(#,##0.00\);_("$"* "-"??_);_(@_)</c:formatCode>
                <c:ptCount val="10"/>
                <c:pt idx="0">
                  <c:v>800</c:v>
                </c:pt>
                <c:pt idx="1">
                  <c:v>720</c:v>
                </c:pt>
                <c:pt idx="2">
                  <c:v>475</c:v>
                </c:pt>
                <c:pt idx="3">
                  <c:v>450</c:v>
                </c:pt>
                <c:pt idx="4">
                  <c:v>330</c:v>
                </c:pt>
                <c:pt idx="5">
                  <c:v>250</c:v>
                </c:pt>
                <c:pt idx="6">
                  <c:v>230</c:v>
                </c:pt>
                <c:pt idx="7">
                  <c:v>110</c:v>
                </c:pt>
                <c:pt idx="8">
                  <c:v>35</c:v>
                </c:pt>
                <c:pt idx="9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4E-47B3-B2B5-68190F8CB6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1605696"/>
        <c:axId val="581606024"/>
      </c:barChart>
      <c:catAx>
        <c:axId val="581605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606024"/>
        <c:crosses val="autoZero"/>
        <c:auto val="1"/>
        <c:lblAlgn val="ctr"/>
        <c:lblOffset val="100"/>
        <c:noMultiLvlLbl val="0"/>
      </c:catAx>
      <c:valAx>
        <c:axId val="581606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605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Percentage Sales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wednesday!$C$1</c:f>
              <c:strCache>
                <c:ptCount val="1"/>
                <c:pt idx="0">
                  <c:v>Percentage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1C2-421A-B3C5-9A475B5B419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1C2-421A-B3C5-9A475B5B419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1C2-421A-B3C5-9A475B5B419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1C2-421A-B3C5-9A475B5B419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1C2-421A-B3C5-9A475B5B419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41C2-421A-B3C5-9A475B5B419B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41C2-421A-B3C5-9A475B5B419B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41C2-421A-B3C5-9A475B5B419B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41C2-421A-B3C5-9A475B5B419B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41C2-421A-B3C5-9A475B5B419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wednesday!$A$2:$A$11</c:f>
              <c:strCache>
                <c:ptCount val="10"/>
                <c:pt idx="0">
                  <c:v>Chocolate</c:v>
                </c:pt>
                <c:pt idx="1">
                  <c:v>Gummies</c:v>
                </c:pt>
                <c:pt idx="2">
                  <c:v>Jelly Beans</c:v>
                </c:pt>
                <c:pt idx="3">
                  <c:v>Cookies</c:v>
                </c:pt>
                <c:pt idx="4">
                  <c:v>Candy</c:v>
                </c:pt>
                <c:pt idx="5">
                  <c:v>Taffy</c:v>
                </c:pt>
                <c:pt idx="6">
                  <c:v>Ice cream</c:v>
                </c:pt>
                <c:pt idx="7">
                  <c:v>Lollipops</c:v>
                </c:pt>
                <c:pt idx="8">
                  <c:v>Mints</c:v>
                </c:pt>
                <c:pt idx="9">
                  <c:v>Gum</c:v>
                </c:pt>
              </c:strCache>
            </c:strRef>
          </c:cat>
          <c:val>
            <c:numRef>
              <c:f>wednesday!$C$2:$C$11</c:f>
              <c:numCache>
                <c:formatCode>0%</c:formatCode>
                <c:ptCount val="10"/>
                <c:pt idx="0">
                  <c:v>0.23323615160349853</c:v>
                </c:pt>
                <c:pt idx="1">
                  <c:v>0.2099125364431487</c:v>
                </c:pt>
                <c:pt idx="2">
                  <c:v>0.13848396501457727</c:v>
                </c:pt>
                <c:pt idx="3">
                  <c:v>0.13119533527696792</c:v>
                </c:pt>
                <c:pt idx="4">
                  <c:v>9.6209912536443148E-2</c:v>
                </c:pt>
                <c:pt idx="5">
                  <c:v>7.2886297376093298E-2</c:v>
                </c:pt>
                <c:pt idx="6">
                  <c:v>6.7055393586005832E-2</c:v>
                </c:pt>
                <c:pt idx="7">
                  <c:v>3.2069970845481049E-2</c:v>
                </c:pt>
                <c:pt idx="8">
                  <c:v>1.020408163265306E-2</c:v>
                </c:pt>
                <c:pt idx="9">
                  <c:v>8.7463556851311956E-3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1C2-421A-B3C5-9A475B5B419B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Sales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thursday!$B$1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thursday!$A$2:$A$11</c:f>
              <c:strCache>
                <c:ptCount val="10"/>
                <c:pt idx="0">
                  <c:v>Jelly Beans</c:v>
                </c:pt>
                <c:pt idx="1">
                  <c:v>Gum</c:v>
                </c:pt>
                <c:pt idx="2">
                  <c:v>Chocolate</c:v>
                </c:pt>
                <c:pt idx="3">
                  <c:v>Taffy</c:v>
                </c:pt>
                <c:pt idx="4">
                  <c:v>Mints</c:v>
                </c:pt>
                <c:pt idx="5">
                  <c:v>Cookies</c:v>
                </c:pt>
                <c:pt idx="6">
                  <c:v>Ice cream</c:v>
                </c:pt>
                <c:pt idx="7">
                  <c:v>Candy</c:v>
                </c:pt>
                <c:pt idx="8">
                  <c:v>Lollipops</c:v>
                </c:pt>
                <c:pt idx="9">
                  <c:v>Gummies</c:v>
                </c:pt>
              </c:strCache>
            </c:strRef>
          </c:cat>
          <c:val>
            <c:numRef>
              <c:f>thursday!$B$2:$B$11</c:f>
              <c:numCache>
                <c:formatCode>_("$"* #,##0.00_);_("$"* \(#,##0.00\);_("$"* "-"??_);_(@_)</c:formatCode>
                <c:ptCount val="10"/>
                <c:pt idx="0">
                  <c:v>2000</c:v>
                </c:pt>
                <c:pt idx="1">
                  <c:v>550</c:v>
                </c:pt>
                <c:pt idx="2">
                  <c:v>500</c:v>
                </c:pt>
                <c:pt idx="3">
                  <c:v>500</c:v>
                </c:pt>
                <c:pt idx="4">
                  <c:v>450</c:v>
                </c:pt>
                <c:pt idx="5">
                  <c:v>400</c:v>
                </c:pt>
                <c:pt idx="6">
                  <c:v>350</c:v>
                </c:pt>
                <c:pt idx="7">
                  <c:v>200</c:v>
                </c:pt>
                <c:pt idx="8">
                  <c:v>100</c:v>
                </c:pt>
                <c:pt idx="9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3A-425F-A2D0-C7484C1533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6568768"/>
        <c:axId val="786569096"/>
      </c:barChart>
      <c:catAx>
        <c:axId val="786568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6569096"/>
        <c:crosses val="autoZero"/>
        <c:auto val="1"/>
        <c:lblAlgn val="ctr"/>
        <c:lblOffset val="100"/>
        <c:noMultiLvlLbl val="0"/>
      </c:catAx>
      <c:valAx>
        <c:axId val="786569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6568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Percentage Sales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thursday!$C$1</c:f>
              <c:strCache>
                <c:ptCount val="1"/>
                <c:pt idx="0">
                  <c:v>Percentage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DF8-4CED-ADED-54E26EAEEB5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DF8-4CED-ADED-54E26EAEEB5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DF8-4CED-ADED-54E26EAEEB5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DF8-4CED-ADED-54E26EAEEB5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DF8-4CED-ADED-54E26EAEEB5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1DF8-4CED-ADED-54E26EAEEB5B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1DF8-4CED-ADED-54E26EAEEB5B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1DF8-4CED-ADED-54E26EAEEB5B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1DF8-4CED-ADED-54E26EAEEB5B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1DF8-4CED-ADED-54E26EAEEB5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thursday!$A$2:$A$11</c:f>
              <c:strCache>
                <c:ptCount val="10"/>
                <c:pt idx="0">
                  <c:v>Jelly Beans</c:v>
                </c:pt>
                <c:pt idx="1">
                  <c:v>Gum</c:v>
                </c:pt>
                <c:pt idx="2">
                  <c:v>Chocolate</c:v>
                </c:pt>
                <c:pt idx="3">
                  <c:v>Taffy</c:v>
                </c:pt>
                <c:pt idx="4">
                  <c:v>Mints</c:v>
                </c:pt>
                <c:pt idx="5">
                  <c:v>Cookies</c:v>
                </c:pt>
                <c:pt idx="6">
                  <c:v>Ice cream</c:v>
                </c:pt>
                <c:pt idx="7">
                  <c:v>Candy</c:v>
                </c:pt>
                <c:pt idx="8">
                  <c:v>Lollipops</c:v>
                </c:pt>
                <c:pt idx="9">
                  <c:v>Gummies</c:v>
                </c:pt>
              </c:strCache>
            </c:strRef>
          </c:cat>
          <c:val>
            <c:numRef>
              <c:f>thursday!$C$2:$C$11</c:f>
              <c:numCache>
                <c:formatCode>0%</c:formatCode>
                <c:ptCount val="10"/>
                <c:pt idx="0">
                  <c:v>0.39215686274509803</c:v>
                </c:pt>
                <c:pt idx="1">
                  <c:v>0.10784313725490197</c:v>
                </c:pt>
                <c:pt idx="2">
                  <c:v>9.8039215686274508E-2</c:v>
                </c:pt>
                <c:pt idx="3">
                  <c:v>9.8039215686274508E-2</c:v>
                </c:pt>
                <c:pt idx="4">
                  <c:v>8.8235294117647065E-2</c:v>
                </c:pt>
                <c:pt idx="5">
                  <c:v>7.8431372549019607E-2</c:v>
                </c:pt>
                <c:pt idx="6">
                  <c:v>6.8627450980392163E-2</c:v>
                </c:pt>
                <c:pt idx="7">
                  <c:v>3.9215686274509803E-2</c:v>
                </c:pt>
                <c:pt idx="8">
                  <c:v>1.9607843137254902E-2</c:v>
                </c:pt>
                <c:pt idx="9">
                  <c:v>9.8039215686274508E-3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1DF8-4CED-ADED-54E26EAEEB5B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Sales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friday!$B$1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friday!$A$2:$A$11</c:f>
              <c:strCache>
                <c:ptCount val="10"/>
                <c:pt idx="0">
                  <c:v>Jelly Beans</c:v>
                </c:pt>
                <c:pt idx="1">
                  <c:v>Candy</c:v>
                </c:pt>
                <c:pt idx="2">
                  <c:v>Gummies</c:v>
                </c:pt>
                <c:pt idx="3">
                  <c:v>Chocolate</c:v>
                </c:pt>
                <c:pt idx="4">
                  <c:v>Cookies</c:v>
                </c:pt>
                <c:pt idx="5">
                  <c:v>Lollipops</c:v>
                </c:pt>
                <c:pt idx="6">
                  <c:v>Mints</c:v>
                </c:pt>
                <c:pt idx="7">
                  <c:v>Gum</c:v>
                </c:pt>
                <c:pt idx="8">
                  <c:v>Ice cream</c:v>
                </c:pt>
                <c:pt idx="9">
                  <c:v>Taffy</c:v>
                </c:pt>
              </c:strCache>
            </c:strRef>
          </c:cat>
          <c:val>
            <c:numRef>
              <c:f>friday!$B$2:$B$11</c:f>
              <c:numCache>
                <c:formatCode>_("$"* #,##0.00_);_("$"* \(#,##0.00\);_("$"* "-"??_);_(@_)</c:formatCode>
                <c:ptCount val="10"/>
                <c:pt idx="0">
                  <c:v>3000</c:v>
                </c:pt>
                <c:pt idx="1">
                  <c:v>1000</c:v>
                </c:pt>
                <c:pt idx="2">
                  <c:v>800</c:v>
                </c:pt>
                <c:pt idx="3">
                  <c:v>800</c:v>
                </c:pt>
                <c:pt idx="4">
                  <c:v>600</c:v>
                </c:pt>
                <c:pt idx="5">
                  <c:v>400</c:v>
                </c:pt>
                <c:pt idx="6">
                  <c:v>280</c:v>
                </c:pt>
                <c:pt idx="7">
                  <c:v>100</c:v>
                </c:pt>
                <c:pt idx="8">
                  <c:v>100</c:v>
                </c:pt>
                <c:pt idx="9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F6-4C16-AA41-C24BC9882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18401328"/>
        <c:axId val="618401656"/>
      </c:barChart>
      <c:catAx>
        <c:axId val="618401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8401656"/>
        <c:crosses val="autoZero"/>
        <c:auto val="1"/>
        <c:lblAlgn val="ctr"/>
        <c:lblOffset val="100"/>
        <c:noMultiLvlLbl val="0"/>
      </c:catAx>
      <c:valAx>
        <c:axId val="618401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8401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Percentage Sales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friday!$C$1</c:f>
              <c:strCache>
                <c:ptCount val="1"/>
                <c:pt idx="0">
                  <c:v>Percentage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9BF-4D8C-99AF-C5D12E5949B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9BF-4D8C-99AF-C5D12E5949B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9BF-4D8C-99AF-C5D12E5949B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9BF-4D8C-99AF-C5D12E5949B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9BF-4D8C-99AF-C5D12E5949B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99BF-4D8C-99AF-C5D12E5949BB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99BF-4D8C-99AF-C5D12E5949BB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99BF-4D8C-99AF-C5D12E5949BB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99BF-4D8C-99AF-C5D12E5949BB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99BF-4D8C-99AF-C5D12E5949B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friday!$A$2:$A$11</c:f>
              <c:strCache>
                <c:ptCount val="10"/>
                <c:pt idx="0">
                  <c:v>Jelly Beans</c:v>
                </c:pt>
                <c:pt idx="1">
                  <c:v>Candy</c:v>
                </c:pt>
                <c:pt idx="2">
                  <c:v>Gummies</c:v>
                </c:pt>
                <c:pt idx="3">
                  <c:v>Chocolate</c:v>
                </c:pt>
                <c:pt idx="4">
                  <c:v>Cookies</c:v>
                </c:pt>
                <c:pt idx="5">
                  <c:v>Lollipops</c:v>
                </c:pt>
                <c:pt idx="6">
                  <c:v>Mints</c:v>
                </c:pt>
                <c:pt idx="7">
                  <c:v>Gum</c:v>
                </c:pt>
                <c:pt idx="8">
                  <c:v>Ice cream</c:v>
                </c:pt>
                <c:pt idx="9">
                  <c:v>Taffy</c:v>
                </c:pt>
              </c:strCache>
            </c:strRef>
          </c:cat>
          <c:val>
            <c:numRef>
              <c:f>friday!$C$2:$C$11</c:f>
              <c:numCache>
                <c:formatCode>0%</c:formatCode>
                <c:ptCount val="10"/>
                <c:pt idx="0">
                  <c:v>0.41958041958041958</c:v>
                </c:pt>
                <c:pt idx="1">
                  <c:v>0.13986013986013987</c:v>
                </c:pt>
                <c:pt idx="2">
                  <c:v>0.11188811188811189</c:v>
                </c:pt>
                <c:pt idx="3">
                  <c:v>0.11188811188811189</c:v>
                </c:pt>
                <c:pt idx="4">
                  <c:v>8.3916083916083919E-2</c:v>
                </c:pt>
                <c:pt idx="5">
                  <c:v>5.5944055944055944E-2</c:v>
                </c:pt>
                <c:pt idx="6">
                  <c:v>3.9160839160839164E-2</c:v>
                </c:pt>
                <c:pt idx="7">
                  <c:v>1.3986013986013986E-2</c:v>
                </c:pt>
                <c:pt idx="8">
                  <c:v>1.3986013986013986E-2</c:v>
                </c:pt>
                <c:pt idx="9">
                  <c:v>9.7902097902097911E-3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9BF-4D8C-99AF-C5D12E5949BB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1200150</xdr:colOff>
          <xdr:row>1</xdr:row>
          <xdr:rowOff>323850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762000</xdr:colOff>
      <xdr:row>0</xdr:row>
      <xdr:rowOff>204787</xdr:rowOff>
    </xdr:from>
    <xdr:to>
      <xdr:col>7</xdr:col>
      <xdr:colOff>457200</xdr:colOff>
      <xdr:row>8</xdr:row>
      <xdr:rowOff>280987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9525</xdr:colOff>
      <xdr:row>0</xdr:row>
      <xdr:rowOff>242887</xdr:rowOff>
    </xdr:from>
    <xdr:to>
      <xdr:col>11</xdr:col>
      <xdr:colOff>923925</xdr:colOff>
      <xdr:row>8</xdr:row>
      <xdr:rowOff>319087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762000</xdr:colOff>
      <xdr:row>0</xdr:row>
      <xdr:rowOff>204787</xdr:rowOff>
    </xdr:from>
    <xdr:to>
      <xdr:col>7</xdr:col>
      <xdr:colOff>457200</xdr:colOff>
      <xdr:row>8</xdr:row>
      <xdr:rowOff>280987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9525</xdr:colOff>
      <xdr:row>0</xdr:row>
      <xdr:rowOff>242887</xdr:rowOff>
    </xdr:from>
    <xdr:to>
      <xdr:col>11</xdr:col>
      <xdr:colOff>923925</xdr:colOff>
      <xdr:row>8</xdr:row>
      <xdr:rowOff>319087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762000</xdr:colOff>
      <xdr:row>0</xdr:row>
      <xdr:rowOff>204787</xdr:rowOff>
    </xdr:from>
    <xdr:to>
      <xdr:col>7</xdr:col>
      <xdr:colOff>457200</xdr:colOff>
      <xdr:row>8</xdr:row>
      <xdr:rowOff>280987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9525</xdr:colOff>
      <xdr:row>0</xdr:row>
      <xdr:rowOff>242887</xdr:rowOff>
    </xdr:from>
    <xdr:to>
      <xdr:col>11</xdr:col>
      <xdr:colOff>923925</xdr:colOff>
      <xdr:row>8</xdr:row>
      <xdr:rowOff>319087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762000</xdr:colOff>
      <xdr:row>0</xdr:row>
      <xdr:rowOff>204787</xdr:rowOff>
    </xdr:from>
    <xdr:to>
      <xdr:col>7</xdr:col>
      <xdr:colOff>457200</xdr:colOff>
      <xdr:row>8</xdr:row>
      <xdr:rowOff>280987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9525</xdr:colOff>
      <xdr:row>0</xdr:row>
      <xdr:rowOff>242887</xdr:rowOff>
    </xdr:from>
    <xdr:to>
      <xdr:col>11</xdr:col>
      <xdr:colOff>923925</xdr:colOff>
      <xdr:row>8</xdr:row>
      <xdr:rowOff>319087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762000</xdr:colOff>
      <xdr:row>0</xdr:row>
      <xdr:rowOff>204787</xdr:rowOff>
    </xdr:from>
    <xdr:to>
      <xdr:col>7</xdr:col>
      <xdr:colOff>457200</xdr:colOff>
      <xdr:row>8</xdr:row>
      <xdr:rowOff>280987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9525</xdr:colOff>
      <xdr:row>0</xdr:row>
      <xdr:rowOff>242887</xdr:rowOff>
    </xdr:from>
    <xdr:to>
      <xdr:col>11</xdr:col>
      <xdr:colOff>923925</xdr:colOff>
      <xdr:row>8</xdr:row>
      <xdr:rowOff>319087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6"/>
  <sheetViews>
    <sheetView tabSelected="1" workbookViewId="0">
      <selection activeCell="B7" sqref="B7"/>
    </sheetView>
  </sheetViews>
  <sheetFormatPr defaultRowHeight="26.25" x14ac:dyDescent="0.4"/>
  <sheetData>
    <row r="1" spans="1:2" x14ac:dyDescent="0.4">
      <c r="A1" s="9" t="s">
        <v>0</v>
      </c>
      <c r="B1" s="9" t="s">
        <v>8</v>
      </c>
    </row>
    <row r="2" spans="1:2" x14ac:dyDescent="0.4">
      <c r="A2">
        <v>1</v>
      </c>
      <c r="B2" t="s">
        <v>9</v>
      </c>
    </row>
    <row r="3" spans="1:2" x14ac:dyDescent="0.4">
      <c r="A3">
        <v>2</v>
      </c>
      <c r="B3" s="9" t="s">
        <v>10</v>
      </c>
    </row>
    <row r="4" spans="1:2" x14ac:dyDescent="0.4">
      <c r="A4">
        <v>3</v>
      </c>
      <c r="B4" t="s">
        <v>12</v>
      </c>
    </row>
    <row r="5" spans="1:2" x14ac:dyDescent="0.4">
      <c r="A5">
        <v>4</v>
      </c>
      <c r="B5" s="9" t="s">
        <v>11</v>
      </c>
    </row>
    <row r="6" spans="1:2" x14ac:dyDescent="0.4">
      <c r="A6">
        <v>5</v>
      </c>
      <c r="B6" t="s">
        <v>13</v>
      </c>
    </row>
  </sheetData>
  <dataConsolidate/>
  <pageMargins left="0.7" right="0.7" top="0.75" bottom="0.75" header="0.3" footer="0.3"/>
  <pageSetup paperSize="0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1"/>
  <sheetViews>
    <sheetView workbookViewId="0">
      <selection activeCell="C11" sqref="C11"/>
    </sheetView>
  </sheetViews>
  <sheetFormatPr defaultRowHeight="26.25" x14ac:dyDescent="0.4"/>
  <sheetData>
    <row r="1" spans="1:6" x14ac:dyDescent="0.4">
      <c r="A1" s="3" t="s">
        <v>0</v>
      </c>
      <c r="E1" s="1" t="s">
        <v>1</v>
      </c>
    </row>
    <row r="2" spans="1:6" x14ac:dyDescent="0.4">
      <c r="A2" s="4">
        <v>1</v>
      </c>
      <c r="E2" s="3" t="s">
        <v>2</v>
      </c>
      <c r="F2" s="3" t="s">
        <v>3</v>
      </c>
    </row>
    <row r="3" spans="1:6" x14ac:dyDescent="0.4">
      <c r="A3" s="5">
        <v>2</v>
      </c>
      <c r="E3" s="2"/>
      <c r="F3">
        <f>SUMCOLOR(A2:A11,E3)</f>
        <v>12</v>
      </c>
    </row>
    <row r="4" spans="1:6" x14ac:dyDescent="0.4">
      <c r="A4" s="4">
        <v>3</v>
      </c>
      <c r="E4" s="5"/>
      <c r="F4">
        <f>SUMCOLOR($A$2:A11,E4)</f>
        <v>18</v>
      </c>
    </row>
    <row r="5" spans="1:6" x14ac:dyDescent="0.4">
      <c r="A5" s="2">
        <v>4</v>
      </c>
      <c r="E5" s="4"/>
      <c r="F5">
        <f>SUMCOLOR($A$2:A12,E5)</f>
        <v>25</v>
      </c>
    </row>
    <row r="6" spans="1:6" x14ac:dyDescent="0.4">
      <c r="A6" s="4">
        <v>5</v>
      </c>
    </row>
    <row r="7" spans="1:6" x14ac:dyDescent="0.4">
      <c r="A7" s="5">
        <v>6</v>
      </c>
    </row>
    <row r="8" spans="1:6" x14ac:dyDescent="0.4">
      <c r="A8" s="4">
        <v>7</v>
      </c>
    </row>
    <row r="9" spans="1:6" x14ac:dyDescent="0.4">
      <c r="A9" s="2">
        <v>8</v>
      </c>
    </row>
    <row r="10" spans="1:6" x14ac:dyDescent="0.4">
      <c r="A10" s="4">
        <v>9</v>
      </c>
    </row>
    <row r="11" spans="1:6" x14ac:dyDescent="0.4">
      <c r="A11" s="5">
        <v>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7"/>
  <sheetViews>
    <sheetView workbookViewId="0">
      <selection activeCell="C4" sqref="C4"/>
    </sheetView>
  </sheetViews>
  <sheetFormatPr defaultRowHeight="26.25" x14ac:dyDescent="0.4"/>
  <cols>
    <col min="1" max="1" width="35.140625" bestFit="1" customWidth="1"/>
    <col min="4" max="4" width="14.2109375" bestFit="1" customWidth="1"/>
  </cols>
  <sheetData>
    <row r="1" spans="1:4" x14ac:dyDescent="0.4">
      <c r="A1" s="1" t="s">
        <v>4</v>
      </c>
    </row>
    <row r="2" spans="1:4" x14ac:dyDescent="0.4">
      <c r="A2" s="1" t="s">
        <v>5</v>
      </c>
    </row>
    <row r="3" spans="1:4" x14ac:dyDescent="0.4">
      <c r="A3" s="8">
        <v>42389.853738425925</v>
      </c>
    </row>
    <row r="5" spans="1:4" x14ac:dyDescent="0.4">
      <c r="D5" s="6"/>
    </row>
    <row r="7" spans="1:4" x14ac:dyDescent="0.4">
      <c r="D7" s="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etDate">
                <anchor moveWithCells="1" sizeWithCells="1">
                  <from>
                    <xdr:col>1</xdr:col>
                    <xdr:colOff>1200150</xdr:colOff>
                    <xdr:row>1</xdr:row>
                    <xdr:rowOff>323850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3"/>
  <sheetViews>
    <sheetView zoomScale="80" zoomScaleNormal="80" workbookViewId="0">
      <selection activeCell="C16" sqref="C16"/>
    </sheetView>
  </sheetViews>
  <sheetFormatPr defaultRowHeight="26.25" x14ac:dyDescent="0.4"/>
  <cols>
    <col min="2" max="2" width="9.92578125" bestFit="1" customWidth="1"/>
  </cols>
  <sheetData>
    <row r="1" spans="1:3" x14ac:dyDescent="0.4">
      <c r="A1" s="12" t="s">
        <v>6</v>
      </c>
      <c r="B1" s="12" t="s">
        <v>7</v>
      </c>
      <c r="C1" s="12" t="s">
        <v>24</v>
      </c>
    </row>
    <row r="2" spans="1:3" x14ac:dyDescent="0.4">
      <c r="A2" t="s">
        <v>23</v>
      </c>
      <c r="B2" s="10">
        <v>750</v>
      </c>
      <c r="C2" s="11">
        <f>B2/$B$13</f>
        <v>0.26548672566371684</v>
      </c>
    </row>
    <row r="3" spans="1:3" x14ac:dyDescent="0.4">
      <c r="A3" t="s">
        <v>22</v>
      </c>
      <c r="B3" s="10">
        <v>500</v>
      </c>
      <c r="C3" s="11">
        <f>B3/$B$13</f>
        <v>0.17699115044247787</v>
      </c>
    </row>
    <row r="4" spans="1:3" x14ac:dyDescent="0.4">
      <c r="A4" t="s">
        <v>21</v>
      </c>
      <c r="B4" s="10">
        <v>400</v>
      </c>
      <c r="C4" s="11">
        <f>B4/$B$13</f>
        <v>0.1415929203539823</v>
      </c>
    </row>
    <row r="5" spans="1:3" x14ac:dyDescent="0.4">
      <c r="A5" t="s">
        <v>20</v>
      </c>
      <c r="B5" s="10">
        <v>400</v>
      </c>
      <c r="C5" s="11">
        <f>B5/$B$13</f>
        <v>0.1415929203539823</v>
      </c>
    </row>
    <row r="6" spans="1:3" x14ac:dyDescent="0.4">
      <c r="A6" t="s">
        <v>19</v>
      </c>
      <c r="B6" s="10">
        <v>300</v>
      </c>
      <c r="C6" s="11">
        <f>B6/$B$13</f>
        <v>0.10619469026548672</v>
      </c>
    </row>
    <row r="7" spans="1:3" x14ac:dyDescent="0.4">
      <c r="A7" t="s">
        <v>18</v>
      </c>
      <c r="B7" s="10">
        <v>200</v>
      </c>
      <c r="C7" s="11">
        <f>B7/$B$13</f>
        <v>7.0796460176991149E-2</v>
      </c>
    </row>
    <row r="8" spans="1:3" x14ac:dyDescent="0.4">
      <c r="A8" t="s">
        <v>17</v>
      </c>
      <c r="B8" s="10">
        <v>135</v>
      </c>
      <c r="C8" s="11">
        <f>B8/$B$13</f>
        <v>4.7787610619469026E-2</v>
      </c>
    </row>
    <row r="9" spans="1:3" x14ac:dyDescent="0.4">
      <c r="A9" t="s">
        <v>16</v>
      </c>
      <c r="B9" s="10">
        <v>50</v>
      </c>
      <c r="C9" s="11">
        <f>B9/$B$13</f>
        <v>1.7699115044247787E-2</v>
      </c>
    </row>
    <row r="10" spans="1:3" x14ac:dyDescent="0.4">
      <c r="A10" t="s">
        <v>15</v>
      </c>
      <c r="B10" s="10">
        <v>50</v>
      </c>
      <c r="C10" s="11">
        <f>B10/$B$13</f>
        <v>1.7699115044247787E-2</v>
      </c>
    </row>
    <row r="11" spans="1:3" x14ac:dyDescent="0.4">
      <c r="A11" t="s">
        <v>14</v>
      </c>
      <c r="B11" s="10">
        <v>40</v>
      </c>
      <c r="C11" s="11">
        <f>B11/$B$13</f>
        <v>1.415929203539823E-2</v>
      </c>
    </row>
    <row r="13" spans="1:3" x14ac:dyDescent="0.4">
      <c r="B13" s="10">
        <f>SUM(B2:B11)</f>
        <v>2825</v>
      </c>
    </row>
  </sheetData>
  <conditionalFormatting sqref="B2:B11">
    <cfRule type="cellIs" dxfId="9" priority="1" operator="lessThan">
      <formula>100</formula>
    </cfRule>
    <cfRule type="cellIs" dxfId="8" priority="2" operator="greaterThan">
      <formula>500</formula>
    </cfRule>
  </conditionalFormatting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13"/>
  <sheetViews>
    <sheetView workbookViewId="0">
      <selection activeCell="B8" sqref="B8"/>
    </sheetView>
  </sheetViews>
  <sheetFormatPr defaultRowHeight="26.25" x14ac:dyDescent="0.4"/>
  <cols>
    <col min="2" max="2" width="9.92578125" bestFit="1" customWidth="1"/>
  </cols>
  <sheetData>
    <row r="1" spans="1:3" x14ac:dyDescent="0.4">
      <c r="A1" s="12" t="s">
        <v>6</v>
      </c>
      <c r="B1" s="12" t="s">
        <v>7</v>
      </c>
      <c r="C1" s="12" t="s">
        <v>24</v>
      </c>
    </row>
    <row r="2" spans="1:3" x14ac:dyDescent="0.4">
      <c r="A2" t="s">
        <v>17</v>
      </c>
      <c r="B2" s="10">
        <v>545</v>
      </c>
      <c r="C2" s="11">
        <f>B2/$B$13</f>
        <v>0.1878662530162013</v>
      </c>
    </row>
    <row r="3" spans="1:3" x14ac:dyDescent="0.4">
      <c r="A3" t="s">
        <v>22</v>
      </c>
      <c r="B3" s="10">
        <v>450</v>
      </c>
      <c r="C3" s="11">
        <f>B3/$B$13</f>
        <v>0.15511892450879008</v>
      </c>
    </row>
    <row r="4" spans="1:3" x14ac:dyDescent="0.4">
      <c r="A4" t="s">
        <v>23</v>
      </c>
      <c r="B4" s="10">
        <v>376</v>
      </c>
      <c r="C4" s="11">
        <f>B4/$B$13</f>
        <v>0.12961047914512236</v>
      </c>
    </row>
    <row r="5" spans="1:3" x14ac:dyDescent="0.4">
      <c r="A5" t="s">
        <v>16</v>
      </c>
      <c r="B5" s="10">
        <v>350</v>
      </c>
      <c r="C5" s="11">
        <f>B5/$B$13</f>
        <v>0.12064805239572561</v>
      </c>
    </row>
    <row r="6" spans="1:3" x14ac:dyDescent="0.4">
      <c r="A6" t="s">
        <v>20</v>
      </c>
      <c r="B6" s="10">
        <v>320</v>
      </c>
      <c r="C6" s="11">
        <f>B6/$B$13</f>
        <v>0.11030679076180627</v>
      </c>
    </row>
    <row r="7" spans="1:3" x14ac:dyDescent="0.4">
      <c r="A7" t="s">
        <v>21</v>
      </c>
      <c r="B7" s="10">
        <v>230</v>
      </c>
      <c r="C7" s="11">
        <f>B7/$B$13</f>
        <v>7.9283005860048258E-2</v>
      </c>
    </row>
    <row r="8" spans="1:3" x14ac:dyDescent="0.4">
      <c r="A8" t="s">
        <v>19</v>
      </c>
      <c r="B8" s="10">
        <v>200</v>
      </c>
      <c r="C8" s="11">
        <f>B8/$B$13</f>
        <v>6.894174422612892E-2</v>
      </c>
    </row>
    <row r="9" spans="1:3" x14ac:dyDescent="0.4">
      <c r="A9" t="s">
        <v>15</v>
      </c>
      <c r="B9" s="10">
        <v>180</v>
      </c>
      <c r="C9" s="11">
        <f>B9/$B$13</f>
        <v>6.2047569803516028E-2</v>
      </c>
    </row>
    <row r="10" spans="1:3" x14ac:dyDescent="0.4">
      <c r="A10" t="s">
        <v>18</v>
      </c>
      <c r="B10" s="10">
        <v>150</v>
      </c>
      <c r="C10" s="11">
        <f>B10/$B$13</f>
        <v>5.170630816959669E-2</v>
      </c>
    </row>
    <row r="11" spans="1:3" x14ac:dyDescent="0.4">
      <c r="A11" t="s">
        <v>14</v>
      </c>
      <c r="B11" s="10">
        <v>100</v>
      </c>
      <c r="C11" s="11">
        <f>B11/$B$13</f>
        <v>3.447087211306446E-2</v>
      </c>
    </row>
    <row r="13" spans="1:3" x14ac:dyDescent="0.4">
      <c r="B13" s="10">
        <f>SUM(B2:B11)</f>
        <v>2901</v>
      </c>
    </row>
  </sheetData>
  <conditionalFormatting sqref="B2:B11">
    <cfRule type="cellIs" dxfId="7" priority="1" operator="lessThan">
      <formula>100</formula>
    </cfRule>
    <cfRule type="cellIs" dxfId="6" priority="2" operator="greaterThan">
      <formula>500</formula>
    </cfRule>
  </conditionalFormatting>
  <pageMargins left="0.75" right="0.75" top="1" bottom="1" header="0.5" footer="0.5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13"/>
  <sheetViews>
    <sheetView workbookViewId="0">
      <selection activeCell="D10" sqref="D10"/>
    </sheetView>
  </sheetViews>
  <sheetFormatPr defaultRowHeight="26.25" x14ac:dyDescent="0.4"/>
  <cols>
    <col min="2" max="2" width="9.92578125" bestFit="1" customWidth="1"/>
  </cols>
  <sheetData>
    <row r="1" spans="1:3" x14ac:dyDescent="0.4">
      <c r="A1" s="12" t="s">
        <v>6</v>
      </c>
      <c r="B1" s="12" t="s">
        <v>7</v>
      </c>
      <c r="C1" s="12" t="s">
        <v>24</v>
      </c>
    </row>
    <row r="2" spans="1:3" x14ac:dyDescent="0.4">
      <c r="A2" t="s">
        <v>20</v>
      </c>
      <c r="B2" s="10">
        <v>800</v>
      </c>
      <c r="C2" s="11">
        <f>B2/$B$13</f>
        <v>0.23323615160349853</v>
      </c>
    </row>
    <row r="3" spans="1:3" x14ac:dyDescent="0.4">
      <c r="A3" t="s">
        <v>21</v>
      </c>
      <c r="B3" s="10">
        <v>720</v>
      </c>
      <c r="C3" s="11">
        <f>B3/$B$13</f>
        <v>0.2099125364431487</v>
      </c>
    </row>
    <row r="4" spans="1:3" x14ac:dyDescent="0.4">
      <c r="A4" t="s">
        <v>23</v>
      </c>
      <c r="B4" s="10">
        <v>475</v>
      </c>
      <c r="C4" s="11">
        <f>B4/$B$13</f>
        <v>0.13848396501457727</v>
      </c>
    </row>
    <row r="5" spans="1:3" x14ac:dyDescent="0.4">
      <c r="A5" t="s">
        <v>19</v>
      </c>
      <c r="B5" s="10">
        <v>450</v>
      </c>
      <c r="C5" s="11">
        <f>B5/$B$13</f>
        <v>0.13119533527696792</v>
      </c>
    </row>
    <row r="6" spans="1:3" x14ac:dyDescent="0.4">
      <c r="A6" t="s">
        <v>22</v>
      </c>
      <c r="B6" s="10">
        <v>330</v>
      </c>
      <c r="C6" s="11">
        <f>B6/$B$13</f>
        <v>9.6209912536443148E-2</v>
      </c>
    </row>
    <row r="7" spans="1:3" x14ac:dyDescent="0.4">
      <c r="A7" t="s">
        <v>14</v>
      </c>
      <c r="B7" s="10">
        <v>250</v>
      </c>
      <c r="C7" s="11">
        <f>B7/$B$13</f>
        <v>7.2886297376093298E-2</v>
      </c>
    </row>
    <row r="8" spans="1:3" x14ac:dyDescent="0.4">
      <c r="A8" t="s">
        <v>15</v>
      </c>
      <c r="B8" s="10">
        <v>230</v>
      </c>
      <c r="C8" s="11">
        <f>B8/$B$13</f>
        <v>6.7055393586005832E-2</v>
      </c>
    </row>
    <row r="9" spans="1:3" x14ac:dyDescent="0.4">
      <c r="A9" t="s">
        <v>18</v>
      </c>
      <c r="B9" s="10">
        <v>110</v>
      </c>
      <c r="C9" s="11">
        <f>B9/$B$13</f>
        <v>3.2069970845481049E-2</v>
      </c>
    </row>
    <row r="10" spans="1:3" x14ac:dyDescent="0.4">
      <c r="A10" t="s">
        <v>17</v>
      </c>
      <c r="B10" s="10">
        <v>35</v>
      </c>
      <c r="C10" s="11">
        <f>B10/$B$13</f>
        <v>1.020408163265306E-2</v>
      </c>
    </row>
    <row r="11" spans="1:3" x14ac:dyDescent="0.4">
      <c r="A11" t="s">
        <v>16</v>
      </c>
      <c r="B11" s="10">
        <v>30</v>
      </c>
      <c r="C11" s="11">
        <f>B11/$B$13</f>
        <v>8.7463556851311956E-3</v>
      </c>
    </row>
    <row r="13" spans="1:3" x14ac:dyDescent="0.4">
      <c r="B13" s="10">
        <f>SUM(B2:B11)</f>
        <v>3430</v>
      </c>
    </row>
  </sheetData>
  <conditionalFormatting sqref="B2:B11">
    <cfRule type="cellIs" dxfId="5" priority="1" operator="lessThan">
      <formula>100</formula>
    </cfRule>
    <cfRule type="cellIs" dxfId="4" priority="2" operator="greaterThan">
      <formula>500</formula>
    </cfRule>
  </conditionalFormatting>
  <pageMargins left="0.75" right="0.75" top="1" bottom="1" header="0.5" footer="0.5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13"/>
  <sheetViews>
    <sheetView workbookViewId="0">
      <selection activeCell="D10" sqref="D10"/>
    </sheetView>
  </sheetViews>
  <sheetFormatPr defaultRowHeight="26.25" x14ac:dyDescent="0.4"/>
  <cols>
    <col min="2" max="2" width="9.92578125" bestFit="1" customWidth="1"/>
  </cols>
  <sheetData>
    <row r="1" spans="1:3" x14ac:dyDescent="0.4">
      <c r="A1" s="12" t="s">
        <v>6</v>
      </c>
      <c r="B1" s="12" t="s">
        <v>7</v>
      </c>
      <c r="C1" s="12" t="s">
        <v>24</v>
      </c>
    </row>
    <row r="2" spans="1:3" x14ac:dyDescent="0.4">
      <c r="A2" t="s">
        <v>23</v>
      </c>
      <c r="B2" s="10">
        <v>2000</v>
      </c>
      <c r="C2" s="11">
        <f>B2/$B$13</f>
        <v>0.39215686274509803</v>
      </c>
    </row>
    <row r="3" spans="1:3" x14ac:dyDescent="0.4">
      <c r="A3" t="s">
        <v>16</v>
      </c>
      <c r="B3" s="10">
        <v>550</v>
      </c>
      <c r="C3" s="11">
        <f>B3/$B$13</f>
        <v>0.10784313725490197</v>
      </c>
    </row>
    <row r="4" spans="1:3" x14ac:dyDescent="0.4">
      <c r="A4" t="s">
        <v>20</v>
      </c>
      <c r="B4" s="10">
        <v>500</v>
      </c>
      <c r="C4" s="11">
        <f>B4/$B$13</f>
        <v>9.8039215686274508E-2</v>
      </c>
    </row>
    <row r="5" spans="1:3" x14ac:dyDescent="0.4">
      <c r="A5" t="s">
        <v>14</v>
      </c>
      <c r="B5" s="10">
        <v>500</v>
      </c>
      <c r="C5" s="11">
        <f>B5/$B$13</f>
        <v>9.8039215686274508E-2</v>
      </c>
    </row>
    <row r="6" spans="1:3" x14ac:dyDescent="0.4">
      <c r="A6" t="s">
        <v>17</v>
      </c>
      <c r="B6" s="10">
        <v>450</v>
      </c>
      <c r="C6" s="11">
        <f>B6/$B$13</f>
        <v>8.8235294117647065E-2</v>
      </c>
    </row>
    <row r="7" spans="1:3" x14ac:dyDescent="0.4">
      <c r="A7" t="s">
        <v>19</v>
      </c>
      <c r="B7" s="10">
        <v>400</v>
      </c>
      <c r="C7" s="11">
        <f>B7/$B$13</f>
        <v>7.8431372549019607E-2</v>
      </c>
    </row>
    <row r="8" spans="1:3" x14ac:dyDescent="0.4">
      <c r="A8" t="s">
        <v>15</v>
      </c>
      <c r="B8" s="10">
        <v>350</v>
      </c>
      <c r="C8" s="11">
        <f>B8/$B$13</f>
        <v>6.8627450980392163E-2</v>
      </c>
    </row>
    <row r="9" spans="1:3" x14ac:dyDescent="0.4">
      <c r="A9" t="s">
        <v>22</v>
      </c>
      <c r="B9" s="10">
        <v>200</v>
      </c>
      <c r="C9" s="11">
        <f>B9/$B$13</f>
        <v>3.9215686274509803E-2</v>
      </c>
    </row>
    <row r="10" spans="1:3" x14ac:dyDescent="0.4">
      <c r="A10" t="s">
        <v>18</v>
      </c>
      <c r="B10" s="10">
        <v>100</v>
      </c>
      <c r="C10" s="11">
        <f>B10/$B$13</f>
        <v>1.9607843137254902E-2</v>
      </c>
    </row>
    <row r="11" spans="1:3" x14ac:dyDescent="0.4">
      <c r="A11" t="s">
        <v>21</v>
      </c>
      <c r="B11" s="10">
        <v>50</v>
      </c>
      <c r="C11" s="11">
        <f>B11/$B$13</f>
        <v>9.8039215686274508E-3</v>
      </c>
    </row>
    <row r="13" spans="1:3" x14ac:dyDescent="0.4">
      <c r="B13" s="10">
        <f>SUM(B2:B11)</f>
        <v>5100</v>
      </c>
    </row>
  </sheetData>
  <conditionalFormatting sqref="B2:B11">
    <cfRule type="cellIs" dxfId="3" priority="1" operator="lessThan">
      <formula>100</formula>
    </cfRule>
    <cfRule type="cellIs" dxfId="2" priority="2" operator="greaterThan">
      <formula>500</formula>
    </cfRule>
  </conditionalFormatting>
  <pageMargins left="0.75" right="0.75" top="1" bottom="1" header="0.5" footer="0.5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13"/>
  <sheetViews>
    <sheetView zoomScale="80" zoomScaleNormal="80" workbookViewId="0">
      <selection activeCell="D13" sqref="D13"/>
    </sheetView>
  </sheetViews>
  <sheetFormatPr defaultRowHeight="26.25" x14ac:dyDescent="0.4"/>
  <cols>
    <col min="2" max="2" width="9.92578125" bestFit="1" customWidth="1"/>
  </cols>
  <sheetData>
    <row r="1" spans="1:3" x14ac:dyDescent="0.4">
      <c r="A1" s="12" t="s">
        <v>6</v>
      </c>
      <c r="B1" s="12" t="s">
        <v>7</v>
      </c>
      <c r="C1" s="12" t="s">
        <v>24</v>
      </c>
    </row>
    <row r="2" spans="1:3" x14ac:dyDescent="0.4">
      <c r="A2" t="s">
        <v>23</v>
      </c>
      <c r="B2" s="10">
        <v>3000</v>
      </c>
      <c r="C2" s="11">
        <f>B2/$B$13</f>
        <v>0.41958041958041958</v>
      </c>
    </row>
    <row r="3" spans="1:3" x14ac:dyDescent="0.4">
      <c r="A3" t="s">
        <v>22</v>
      </c>
      <c r="B3" s="10">
        <v>1000</v>
      </c>
      <c r="C3" s="11">
        <f>B3/$B$13</f>
        <v>0.13986013986013987</v>
      </c>
    </row>
    <row r="4" spans="1:3" x14ac:dyDescent="0.4">
      <c r="A4" t="s">
        <v>21</v>
      </c>
      <c r="B4" s="10">
        <v>800</v>
      </c>
      <c r="C4" s="11">
        <f>B4/$B$13</f>
        <v>0.11188811188811189</v>
      </c>
    </row>
    <row r="5" spans="1:3" x14ac:dyDescent="0.4">
      <c r="A5" t="s">
        <v>20</v>
      </c>
      <c r="B5" s="10">
        <v>800</v>
      </c>
      <c r="C5" s="11">
        <f>B5/$B$13</f>
        <v>0.11188811188811189</v>
      </c>
    </row>
    <row r="6" spans="1:3" x14ac:dyDescent="0.4">
      <c r="A6" t="s">
        <v>19</v>
      </c>
      <c r="B6" s="10">
        <v>600</v>
      </c>
      <c r="C6" s="11">
        <f>B6/$B$13</f>
        <v>8.3916083916083919E-2</v>
      </c>
    </row>
    <row r="7" spans="1:3" x14ac:dyDescent="0.4">
      <c r="A7" t="s">
        <v>18</v>
      </c>
      <c r="B7" s="10">
        <v>400</v>
      </c>
      <c r="C7" s="11">
        <f>B7/$B$13</f>
        <v>5.5944055944055944E-2</v>
      </c>
    </row>
    <row r="8" spans="1:3" x14ac:dyDescent="0.4">
      <c r="A8" t="s">
        <v>17</v>
      </c>
      <c r="B8" s="10">
        <v>280</v>
      </c>
      <c r="C8" s="11">
        <f>B8/$B$13</f>
        <v>3.9160839160839164E-2</v>
      </c>
    </row>
    <row r="9" spans="1:3" x14ac:dyDescent="0.4">
      <c r="A9" t="s">
        <v>16</v>
      </c>
      <c r="B9" s="10">
        <v>100</v>
      </c>
      <c r="C9" s="11">
        <f>B9/$B$13</f>
        <v>1.3986013986013986E-2</v>
      </c>
    </row>
    <row r="10" spans="1:3" x14ac:dyDescent="0.4">
      <c r="A10" t="s">
        <v>15</v>
      </c>
      <c r="B10" s="10">
        <v>100</v>
      </c>
      <c r="C10" s="11">
        <f>B10/$B$13</f>
        <v>1.3986013986013986E-2</v>
      </c>
    </row>
    <row r="11" spans="1:3" x14ac:dyDescent="0.4">
      <c r="A11" t="s">
        <v>14</v>
      </c>
      <c r="B11" s="10">
        <v>70</v>
      </c>
      <c r="C11" s="11">
        <f>B11/$B$13</f>
        <v>9.7902097902097911E-3</v>
      </c>
    </row>
    <row r="13" spans="1:3" x14ac:dyDescent="0.4">
      <c r="B13" s="10">
        <f>SUM(B2:B11)</f>
        <v>7150</v>
      </c>
    </row>
  </sheetData>
  <conditionalFormatting sqref="B2:B11">
    <cfRule type="cellIs" dxfId="1" priority="1" operator="lessThan">
      <formula>100</formula>
    </cfRule>
    <cfRule type="cellIs" dxfId="0" priority="2" operator="greaterThan">
      <formula>500</formula>
    </cfRule>
  </conditionalFormatting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macro</vt:lpstr>
      <vt:lpstr>udf</vt:lpstr>
      <vt:lpstr>button</vt:lpstr>
      <vt:lpstr>monday</vt:lpstr>
      <vt:lpstr>tuesday</vt:lpstr>
      <vt:lpstr>wednesday</vt:lpstr>
      <vt:lpstr>thursday</vt:lpstr>
      <vt:lpstr>friday</vt:lpstr>
    </vt:vector>
  </TitlesOfParts>
  <Company>UBC Okanagan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Ramon Lawrence</dc:creator>
  <cp:lastModifiedBy>Ramon Lawrence</cp:lastModifiedBy>
  <dcterms:created xsi:type="dcterms:W3CDTF">2016-01-20T21:07:24Z</dcterms:created>
  <dcterms:modified xsi:type="dcterms:W3CDTF">2016-01-21T04:30:56Z</dcterms:modified>
</cp:coreProperties>
</file>